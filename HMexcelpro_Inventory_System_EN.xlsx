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showInkAnnotation="0"/>
  <xr:revisionPtr revIDLastSave="0" documentId="8_{CB9E864E-88D6-F04A-A841-963C0831448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oducts" sheetId="1" r:id="rId1"/>
    <sheet name="Stock Movements" sheetId="2" r:id="rId2"/>
    <sheet name="Inventory Dashboard" sheetId="3" r:id="rId3"/>
    <sheet name="Data Entry" sheetId="4" r:id="rId4"/>
    <sheet name="Instructions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3" l="1"/>
  <c r="C13" i="3"/>
  <c r="C14" i="3"/>
  <c r="D14" i="3"/>
  <c r="E14" i="3"/>
  <c r="F14" i="3"/>
  <c r="G14" i="3"/>
  <c r="J14" i="3"/>
  <c r="K14" i="3"/>
  <c r="C15" i="3"/>
  <c r="C16" i="3"/>
  <c r="C17" i="3"/>
  <c r="C18" i="3"/>
  <c r="C19" i="3"/>
  <c r="D12" i="3"/>
  <c r="E12" i="3"/>
  <c r="F12" i="3"/>
  <c r="G12" i="3"/>
  <c r="J12" i="3"/>
  <c r="K12" i="3"/>
  <c r="D13" i="3"/>
  <c r="E13" i="3"/>
  <c r="F13" i="3"/>
  <c r="G13" i="3"/>
  <c r="J13" i="3"/>
  <c r="K13" i="3"/>
  <c r="D15" i="3"/>
  <c r="E15" i="3"/>
  <c r="F15" i="3"/>
  <c r="G15" i="3"/>
  <c r="J15" i="3"/>
  <c r="K15" i="3"/>
  <c r="D16" i="3"/>
  <c r="E16" i="3"/>
  <c r="F16" i="3"/>
  <c r="G16" i="3"/>
  <c r="J16" i="3"/>
  <c r="K16" i="3"/>
  <c r="D17" i="3"/>
  <c r="E17" i="3"/>
  <c r="F17" i="3"/>
  <c r="G17" i="3"/>
  <c r="J17" i="3"/>
  <c r="K17" i="3"/>
  <c r="D18" i="3"/>
  <c r="E18" i="3"/>
  <c r="F18" i="3"/>
  <c r="G18" i="3"/>
  <c r="J18" i="3"/>
  <c r="K18" i="3"/>
  <c r="D19" i="3"/>
  <c r="E19" i="3"/>
  <c r="F19" i="3"/>
  <c r="G19" i="3"/>
  <c r="J19" i="3"/>
  <c r="K19" i="3"/>
  <c r="C25" i="3"/>
  <c r="B25" i="3"/>
  <c r="C11" i="3"/>
  <c r="C24" i="3"/>
  <c r="B24" i="3"/>
  <c r="C10" i="3"/>
  <c r="D10" i="3"/>
  <c r="E10" i="3"/>
  <c r="F10" i="3"/>
  <c r="G10" i="3"/>
  <c r="J10" i="3"/>
  <c r="K10" i="3"/>
  <c r="D11" i="3"/>
  <c r="E11" i="3"/>
  <c r="F11" i="3"/>
  <c r="G11" i="3"/>
  <c r="J11" i="3"/>
  <c r="K11" i="3"/>
  <c r="C23" i="3"/>
  <c r="B23" i="3"/>
  <c r="H19" i="3"/>
  <c r="I19" i="3"/>
  <c r="B19" i="3"/>
  <c r="H18" i="3"/>
  <c r="I18" i="3"/>
  <c r="B18" i="3"/>
  <c r="H17" i="3"/>
  <c r="I17" i="3"/>
  <c r="B17" i="3"/>
  <c r="H16" i="3"/>
  <c r="I16" i="3"/>
  <c r="B16" i="3"/>
  <c r="H15" i="3"/>
  <c r="I15" i="3"/>
  <c r="B15" i="3"/>
  <c r="H14" i="3"/>
  <c r="I14" i="3"/>
  <c r="B14" i="3"/>
  <c r="H13" i="3"/>
  <c r="I13" i="3"/>
  <c r="B13" i="3"/>
  <c r="H12" i="3"/>
  <c r="I12" i="3"/>
  <c r="B12" i="3"/>
  <c r="H11" i="3"/>
  <c r="I11" i="3"/>
  <c r="B11" i="3"/>
  <c r="H10" i="3"/>
  <c r="I10" i="3"/>
  <c r="B10" i="3"/>
  <c r="K5" i="3"/>
  <c r="H5" i="3"/>
  <c r="E5" i="3"/>
  <c r="C5" i="3"/>
  <c r="A5" i="3"/>
</calcChain>
</file>

<file path=xl/sharedStrings.xml><?xml version="1.0" encoding="utf-8"?>
<sst xmlns="http://schemas.openxmlformats.org/spreadsheetml/2006/main" count="254" uniqueCount="70">
  <si>
    <t>SKU</t>
  </si>
  <si>
    <t>Product</t>
  </si>
  <si>
    <t>Category</t>
  </si>
  <si>
    <t>Supplier</t>
  </si>
  <si>
    <t>Opening Stock</t>
  </si>
  <si>
    <t>Reorder Level</t>
  </si>
  <si>
    <t>Unit Cost</t>
  </si>
  <si>
    <t>SKU-001</t>
  </si>
  <si>
    <t>Laptop Pro</t>
  </si>
  <si>
    <t>Electronics</t>
  </si>
  <si>
    <t>TechSource</t>
  </si>
  <si>
    <t>SKU-002</t>
  </si>
  <si>
    <t>Monitor 27</t>
  </si>
  <si>
    <t>VisionSupply</t>
  </si>
  <si>
    <t>SKU-003</t>
  </si>
  <si>
    <t>Office Chair</t>
  </si>
  <si>
    <t>Furniture</t>
  </si>
  <si>
    <t>FurniCo</t>
  </si>
  <si>
    <t>SKU-004</t>
  </si>
  <si>
    <t>Standing Desk</t>
  </si>
  <si>
    <t>WorkSpace Ltd</t>
  </si>
  <si>
    <t>SKU-005</t>
  </si>
  <si>
    <t>Keyboard</t>
  </si>
  <si>
    <t>Accessories</t>
  </si>
  <si>
    <t>InputHub</t>
  </si>
  <si>
    <t>SKU-006</t>
  </si>
  <si>
    <t>Mouse</t>
  </si>
  <si>
    <t>SKU-007</t>
  </si>
  <si>
    <t>Webcam</t>
  </si>
  <si>
    <t>SKU-008</t>
  </si>
  <si>
    <t>Headset</t>
  </si>
  <si>
    <t>AudioTrade</t>
  </si>
  <si>
    <t>SKU-009</t>
  </si>
  <si>
    <t>Desk Lamp</t>
  </si>
  <si>
    <t>SKU-010</t>
  </si>
  <si>
    <t>USB Hub</t>
  </si>
  <si>
    <t>Date</t>
  </si>
  <si>
    <t>Movement Type</t>
  </si>
  <si>
    <t>Quantity</t>
  </si>
  <si>
    <t>Notes</t>
  </si>
  <si>
    <t>IN</t>
  </si>
  <si>
    <t>Supplier delivery</t>
  </si>
  <si>
    <t>OUT</t>
  </si>
  <si>
    <t>Customer order</t>
  </si>
  <si>
    <t>HMexcelpro | Inventory &amp; Stock Management Dashboard</t>
  </si>
  <si>
    <t>TOTAL SKUs</t>
  </si>
  <si>
    <t>TOTAL UNITS</t>
  </si>
  <si>
    <t>INVENTORY VALUE</t>
  </si>
  <si>
    <t>LOW STOCK ITEMS</t>
  </si>
  <si>
    <t>OUT OF STOCK</t>
  </si>
  <si>
    <t>Stock IN</t>
  </si>
  <si>
    <t>Stock OUT</t>
  </si>
  <si>
    <t>Current Stock</t>
  </si>
  <si>
    <t>Status</t>
  </si>
  <si>
    <t>Inventory Value</t>
  </si>
  <si>
    <t>Total Units</t>
  </si>
  <si>
    <t>Stock Movement Entry</t>
  </si>
  <si>
    <t>HMexcelpro Inventory System Guide</t>
  </si>
  <si>
    <t>Purpose</t>
  </si>
  <si>
    <t>Portfolio-ready Excel system for inventory control, stock movements, reorder monitoring and valuation.</t>
  </si>
  <si>
    <t>Products</t>
  </si>
  <si>
    <t>Stores SKU, product, category, supplier, opening stock, reorder level and unit cost.</t>
  </si>
  <si>
    <t>Stock Movements</t>
  </si>
  <si>
    <t>Records stock IN and OUT transactions.</t>
  </si>
  <si>
    <t>Dashboard</t>
  </si>
  <si>
    <t>Shows KPIs, stock status, low-stock items and inventory value.</t>
  </si>
  <si>
    <t>Data Entry</t>
  </si>
  <si>
    <t>Structured area for preparing new stock movement records.</t>
  </si>
  <si>
    <t>Note</t>
  </si>
  <si>
    <t>This workbook uses demonstration data for portfolio purposes.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</si>
</sst>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name val="Carlito"/>
    </font>
    <font>
      <b/>
      <sz val="11"/>
      <color rgb="FFFFFFFF"/>
      <name val="Carlito"/>
    </font>
    <font>
      <b/>
      <sz val="19"/>
      <color rgb="FFFFFFFF"/>
      <name val="Carlito"/>
    </font>
    <font>
      <b/>
      <sz val="11"/>
      <color rgb="FF17365D"/>
      <name val="Carlito"/>
    </font>
    <font>
      <b/>
      <sz val="16"/>
      <name val="Carlito"/>
    </font>
    <font>
      <b/>
      <sz val="17"/>
      <color rgb="FFFFFFFF"/>
      <name val="Carlito"/>
    </font>
    <font>
      <b/>
      <sz val="11"/>
      <name val="Carlito"/>
    </font>
    <font>
      <b/>
      <sz val="18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7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horizontal="center"/>
    </xf>
    <xf numFmtId="3" fontId="0" fillId="0" borderId="0" xfId="0" applyNumberFormat="1" applyFont="1" applyFill="1" applyBorder="1"/>
    <xf numFmtId="164" fontId="0" fillId="0" borderId="0" xfId="0" applyNumberFormat="1" applyFont="1" applyFill="1" applyBorder="1"/>
    <xf numFmtId="1" fontId="0" fillId="0" borderId="0" xfId="0" applyNumberFormat="1" applyFont="1" applyFill="1" applyBorder="1"/>
    <xf numFmtId="0" fontId="6" fillId="4" borderId="0" xfId="0" applyNumberFormat="1" applyFont="1" applyFill="1" applyBorder="1"/>
    <xf numFmtId="0" fontId="6" fillId="4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vertical="center"/>
    </xf>
    <xf numFmtId="0" fontId="3" fillId="4" borderId="0" xfId="0" applyNumberFormat="1" applyFont="1" applyFill="1" applyBorder="1" applyAlignment="1">
      <alignment horizontal="center"/>
    </xf>
    <xf numFmtId="1" fontId="4" fillId="5" borderId="0" xfId="0" applyNumberFormat="1" applyFont="1" applyFill="1" applyBorder="1" applyAlignment="1">
      <alignment horizontal="center"/>
    </xf>
    <xf numFmtId="3" fontId="4" fillId="5" borderId="0" xfId="0" applyNumberFormat="1" applyFont="1" applyFill="1" applyBorder="1" applyAlignment="1">
      <alignment horizontal="center"/>
    </xf>
    <xf numFmtId="0" fontId="5" fillId="3" borderId="0" xfId="0" applyNumberFormat="1" applyFont="1" applyFill="1" applyBorder="1" applyAlignment="1">
      <alignment horizontal="center"/>
    </xf>
    <xf numFmtId="0" fontId="7" fillId="3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bgColor rgb="FFD9EAD3"/>
        </patternFill>
      </fill>
    </dxf>
    <dxf>
      <font>
        <b/>
      </font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t>Stock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Units</c:v>
          </c:tx>
          <c:invertIfNegative val="1"/>
          <c:cat>
            <c:strRef>
              <c:f>'Inventory Dashboard'!$A$23:$A$25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Accessories</c:v>
                </c:pt>
              </c:strCache>
            </c:strRef>
          </c:cat>
          <c:val>
            <c:numRef>
              <c:f>'Inventory Dashboard'!$B$23:$B$25</c:f>
              <c:numCache>
                <c:formatCode>0</c:formatCode>
                <c:ptCount val="3"/>
                <c:pt idx="0">
                  <c:v>101</c:v>
                </c:pt>
                <c:pt idx="1">
                  <c:v>123</c:v>
                </c:pt>
                <c:pt idx="2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41-2443-9CE7-01825938A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t>Inventory Value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Units</c:v>
          </c:tx>
          <c:invertIfNegative val="1"/>
          <c:cat>
            <c:strRef>
              <c:f>'Inventory Dashboard'!$A$23:$A$25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Accessories</c:v>
                </c:pt>
              </c:strCache>
            </c:strRef>
          </c:cat>
          <c:val>
            <c:numRef>
              <c:f>'Inventory Dashboard'!$B$23:$B$25</c:f>
              <c:numCache>
                <c:formatCode>0</c:formatCode>
                <c:ptCount val="3"/>
                <c:pt idx="0">
                  <c:v>101</c:v>
                </c:pt>
                <c:pt idx="1">
                  <c:v>123</c:v>
                </c:pt>
                <c:pt idx="2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2D-EE45-8250-3545AEACA30A}"/>
            </c:ext>
          </c:extLst>
        </c:ser>
        <c:ser>
          <c:idx val="1"/>
          <c:order val="1"/>
          <c:tx>
            <c:v>Inventory Value</c:v>
          </c:tx>
          <c:invertIfNegative val="1"/>
          <c:cat>
            <c:strRef>
              <c:f>'Inventory Dashboard'!$A$23:$A$25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Accessories</c:v>
                </c:pt>
              </c:strCache>
            </c:strRef>
          </c:cat>
          <c:val>
            <c:numRef>
              <c:f>'Inventory Dashboard'!$C$23:$C$25</c:f>
              <c:numCache>
                <c:formatCode>#,##0</c:formatCode>
                <c:ptCount val="3"/>
                <c:pt idx="0">
                  <c:v>38235</c:v>
                </c:pt>
                <c:pt idx="1">
                  <c:v>19360</c:v>
                </c:pt>
                <c:pt idx="2">
                  <c:v>8427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2D-EE45-8250-3545AEACA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6</xdr:col>
      <xdr:colOff>0</xdr:colOff>
      <xdr:row>42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27</xdr:row>
      <xdr:rowOff>0</xdr:rowOff>
    </xdr:from>
    <xdr:to>
      <xdr:col>12</xdr:col>
      <xdr:colOff>0</xdr:colOff>
      <xdr:row>42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Normal="60" zoomScaleSheetLayoutView="100" workbookViewId="0"/>
  </sheetViews>
  <sheetFormatPr defaultRowHeight="15" x14ac:dyDescent="0.2"/>
  <cols>
    <col min="1" max="1" width="13.046875" customWidth="1"/>
    <col min="2" max="2" width="18.0234375" customWidth="1"/>
    <col min="3" max="3" width="16.0078125" customWidth="1"/>
    <col min="4" max="4" width="18.0234375" customWidth="1"/>
    <col min="5" max="6" width="13.98828125" customWidth="1"/>
    <col min="7" max="7" width="11.97265625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s="3">
        <v>32</v>
      </c>
      <c r="F2" s="3">
        <v>10</v>
      </c>
      <c r="G2" s="3">
        <v>690</v>
      </c>
    </row>
    <row r="3" spans="1:7" x14ac:dyDescent="0.2">
      <c r="A3" t="s">
        <v>11</v>
      </c>
      <c r="B3" t="s">
        <v>12</v>
      </c>
      <c r="C3" t="s">
        <v>9</v>
      </c>
      <c r="D3" t="s">
        <v>13</v>
      </c>
      <c r="E3" s="3">
        <v>48</v>
      </c>
      <c r="F3" s="3">
        <v>12</v>
      </c>
      <c r="G3" s="3">
        <v>255</v>
      </c>
    </row>
    <row r="4" spans="1:7" x14ac:dyDescent="0.2">
      <c r="A4" t="s">
        <v>14</v>
      </c>
      <c r="B4" t="s">
        <v>15</v>
      </c>
      <c r="C4" t="s">
        <v>16</v>
      </c>
      <c r="D4" t="s">
        <v>17</v>
      </c>
      <c r="E4" s="3">
        <v>55</v>
      </c>
      <c r="F4" s="3">
        <v>15</v>
      </c>
      <c r="G4" s="3">
        <v>205</v>
      </c>
    </row>
    <row r="5" spans="1:7" x14ac:dyDescent="0.2">
      <c r="A5" t="s">
        <v>18</v>
      </c>
      <c r="B5" t="s">
        <v>19</v>
      </c>
      <c r="C5" t="s">
        <v>16</v>
      </c>
      <c r="D5" t="s">
        <v>20</v>
      </c>
      <c r="E5" s="3">
        <v>36</v>
      </c>
      <c r="F5" s="3">
        <v>10</v>
      </c>
      <c r="G5" s="3">
        <v>370</v>
      </c>
    </row>
    <row r="6" spans="1:7" x14ac:dyDescent="0.2">
      <c r="A6" t="s">
        <v>21</v>
      </c>
      <c r="B6" t="s">
        <v>22</v>
      </c>
      <c r="C6" t="s">
        <v>23</v>
      </c>
      <c r="D6" t="s">
        <v>24</v>
      </c>
      <c r="E6" s="3">
        <v>70</v>
      </c>
      <c r="F6" s="3">
        <v>20</v>
      </c>
      <c r="G6" s="3">
        <v>54</v>
      </c>
    </row>
    <row r="7" spans="1:7" x14ac:dyDescent="0.2">
      <c r="A7" t="s">
        <v>25</v>
      </c>
      <c r="B7" t="s">
        <v>26</v>
      </c>
      <c r="C7" t="s">
        <v>23</v>
      </c>
      <c r="D7" t="s">
        <v>24</v>
      </c>
      <c r="E7" s="3">
        <v>82</v>
      </c>
      <c r="F7" s="3">
        <v>25</v>
      </c>
      <c r="G7" s="3">
        <v>31</v>
      </c>
    </row>
    <row r="8" spans="1:7" x14ac:dyDescent="0.2">
      <c r="A8" t="s">
        <v>27</v>
      </c>
      <c r="B8" t="s">
        <v>28</v>
      </c>
      <c r="C8" t="s">
        <v>9</v>
      </c>
      <c r="D8" t="s">
        <v>10</v>
      </c>
      <c r="E8" s="3">
        <v>28</v>
      </c>
      <c r="F8" s="3">
        <v>8</v>
      </c>
      <c r="G8" s="3">
        <v>62</v>
      </c>
    </row>
    <row r="9" spans="1:7" x14ac:dyDescent="0.2">
      <c r="A9" t="s">
        <v>29</v>
      </c>
      <c r="B9" t="s">
        <v>30</v>
      </c>
      <c r="C9" t="s">
        <v>23</v>
      </c>
      <c r="D9" t="s">
        <v>31</v>
      </c>
      <c r="E9" s="3">
        <v>40</v>
      </c>
      <c r="F9" s="3">
        <v>12</v>
      </c>
      <c r="G9" s="3">
        <v>48</v>
      </c>
    </row>
    <row r="10" spans="1:7" x14ac:dyDescent="0.2">
      <c r="A10" t="s">
        <v>32</v>
      </c>
      <c r="B10" t="s">
        <v>33</v>
      </c>
      <c r="C10" t="s">
        <v>16</v>
      </c>
      <c r="D10" t="s">
        <v>17</v>
      </c>
      <c r="E10" s="3">
        <v>30</v>
      </c>
      <c r="F10" s="3">
        <v>10</v>
      </c>
      <c r="G10" s="3">
        <v>35</v>
      </c>
    </row>
    <row r="11" spans="1:7" x14ac:dyDescent="0.2">
      <c r="A11" t="s">
        <v>34</v>
      </c>
      <c r="B11" t="s">
        <v>35</v>
      </c>
      <c r="C11" t="s">
        <v>23</v>
      </c>
      <c r="D11" t="s">
        <v>24</v>
      </c>
      <c r="E11" s="3">
        <v>46</v>
      </c>
      <c r="F11" s="3">
        <v>15</v>
      </c>
      <c r="G11" s="3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zoomScaleNormal="60" zoomScaleSheetLayoutView="100" workbookViewId="0"/>
  </sheetViews>
  <sheetFormatPr defaultRowHeight="15" x14ac:dyDescent="0.2"/>
  <cols>
    <col min="1" max="1" width="13.98828125" customWidth="1"/>
    <col min="2" max="2" width="13.046875" customWidth="1"/>
    <col min="3" max="3" width="13.98828125" customWidth="1"/>
    <col min="4" max="4" width="11.97265625" customWidth="1"/>
    <col min="5" max="5" width="23.9453125" customWidth="1"/>
  </cols>
  <sheetData>
    <row r="1" spans="1:5" x14ac:dyDescent="0.2">
      <c r="A1" s="2" t="s">
        <v>36</v>
      </c>
      <c r="B1" s="2" t="s">
        <v>0</v>
      </c>
      <c r="C1" s="2" t="s">
        <v>37</v>
      </c>
      <c r="D1" s="2" t="s">
        <v>38</v>
      </c>
      <c r="E1" s="2" t="s">
        <v>39</v>
      </c>
    </row>
    <row r="2" spans="1:5" x14ac:dyDescent="0.2">
      <c r="A2" s="4">
        <v>46027</v>
      </c>
      <c r="B2" t="s">
        <v>7</v>
      </c>
      <c r="C2" t="s">
        <v>40</v>
      </c>
      <c r="D2" s="5">
        <v>6</v>
      </c>
      <c r="E2" t="s">
        <v>41</v>
      </c>
    </row>
    <row r="3" spans="1:5" x14ac:dyDescent="0.2">
      <c r="A3" s="4">
        <v>46032</v>
      </c>
      <c r="B3" t="s">
        <v>11</v>
      </c>
      <c r="C3" t="s">
        <v>42</v>
      </c>
      <c r="D3" s="5">
        <v>3</v>
      </c>
      <c r="E3" t="s">
        <v>43</v>
      </c>
    </row>
    <row r="4" spans="1:5" x14ac:dyDescent="0.2">
      <c r="A4" s="4">
        <v>46037</v>
      </c>
      <c r="B4" t="s">
        <v>14</v>
      </c>
      <c r="C4" t="s">
        <v>42</v>
      </c>
      <c r="D4" s="5">
        <v>4</v>
      </c>
      <c r="E4" t="s">
        <v>43</v>
      </c>
    </row>
    <row r="5" spans="1:5" x14ac:dyDescent="0.2">
      <c r="A5" s="4">
        <v>46042</v>
      </c>
      <c r="B5" t="s">
        <v>18</v>
      </c>
      <c r="C5" t="s">
        <v>42</v>
      </c>
      <c r="D5" s="5">
        <v>5</v>
      </c>
      <c r="E5" t="s">
        <v>43</v>
      </c>
    </row>
    <row r="6" spans="1:5" x14ac:dyDescent="0.2">
      <c r="A6" s="4">
        <v>46047</v>
      </c>
      <c r="B6" t="s">
        <v>21</v>
      </c>
      <c r="C6" t="s">
        <v>40</v>
      </c>
      <c r="D6" s="5">
        <v>10</v>
      </c>
      <c r="E6" t="s">
        <v>41</v>
      </c>
    </row>
    <row r="7" spans="1:5" x14ac:dyDescent="0.2">
      <c r="A7" s="4">
        <v>46052</v>
      </c>
      <c r="B7" t="s">
        <v>25</v>
      </c>
      <c r="C7" t="s">
        <v>42</v>
      </c>
      <c r="D7" s="5">
        <v>3</v>
      </c>
      <c r="E7" t="s">
        <v>43</v>
      </c>
    </row>
    <row r="8" spans="1:5" x14ac:dyDescent="0.2">
      <c r="A8" s="4">
        <v>46057</v>
      </c>
      <c r="B8" t="s">
        <v>27</v>
      </c>
      <c r="C8" t="s">
        <v>42</v>
      </c>
      <c r="D8" s="5">
        <v>4</v>
      </c>
      <c r="E8" t="s">
        <v>43</v>
      </c>
    </row>
    <row r="9" spans="1:5" x14ac:dyDescent="0.2">
      <c r="A9" s="4">
        <v>46062</v>
      </c>
      <c r="B9" t="s">
        <v>29</v>
      </c>
      <c r="C9" t="s">
        <v>42</v>
      </c>
      <c r="D9" s="5">
        <v>5</v>
      </c>
      <c r="E9" t="s">
        <v>43</v>
      </c>
    </row>
    <row r="10" spans="1:5" x14ac:dyDescent="0.2">
      <c r="A10" s="4">
        <v>46067</v>
      </c>
      <c r="B10" t="s">
        <v>32</v>
      </c>
      <c r="C10" t="s">
        <v>40</v>
      </c>
      <c r="D10" s="5">
        <v>9</v>
      </c>
      <c r="E10" t="s">
        <v>41</v>
      </c>
    </row>
    <row r="11" spans="1:5" x14ac:dyDescent="0.2">
      <c r="A11" s="4">
        <v>46072</v>
      </c>
      <c r="B11" t="s">
        <v>34</v>
      </c>
      <c r="C11" t="s">
        <v>42</v>
      </c>
      <c r="D11" s="5">
        <v>3</v>
      </c>
      <c r="E11" t="s">
        <v>43</v>
      </c>
    </row>
    <row r="12" spans="1:5" x14ac:dyDescent="0.2">
      <c r="A12" s="4">
        <v>46077</v>
      </c>
      <c r="B12" t="s">
        <v>7</v>
      </c>
      <c r="C12" t="s">
        <v>42</v>
      </c>
      <c r="D12" s="5">
        <v>4</v>
      </c>
      <c r="E12" t="s">
        <v>43</v>
      </c>
    </row>
    <row r="13" spans="1:5" x14ac:dyDescent="0.2">
      <c r="A13" s="4">
        <v>46082</v>
      </c>
      <c r="B13" t="s">
        <v>11</v>
      </c>
      <c r="C13" t="s">
        <v>42</v>
      </c>
      <c r="D13" s="5">
        <v>5</v>
      </c>
      <c r="E13" t="s">
        <v>43</v>
      </c>
    </row>
    <row r="14" spans="1:5" x14ac:dyDescent="0.2">
      <c r="A14" s="4">
        <v>46087</v>
      </c>
      <c r="B14" t="s">
        <v>14</v>
      </c>
      <c r="C14" t="s">
        <v>40</v>
      </c>
      <c r="D14" s="5">
        <v>8</v>
      </c>
      <c r="E14" t="s">
        <v>41</v>
      </c>
    </row>
    <row r="15" spans="1:5" x14ac:dyDescent="0.2">
      <c r="A15" s="4">
        <v>46092</v>
      </c>
      <c r="B15" t="s">
        <v>18</v>
      </c>
      <c r="C15" t="s">
        <v>42</v>
      </c>
      <c r="D15" s="5">
        <v>3</v>
      </c>
      <c r="E15" t="s">
        <v>43</v>
      </c>
    </row>
    <row r="16" spans="1:5" x14ac:dyDescent="0.2">
      <c r="A16" s="4">
        <v>46097</v>
      </c>
      <c r="B16" t="s">
        <v>21</v>
      </c>
      <c r="C16" t="s">
        <v>42</v>
      </c>
      <c r="D16" s="5">
        <v>4</v>
      </c>
      <c r="E16" t="s">
        <v>43</v>
      </c>
    </row>
    <row r="17" spans="1:5" x14ac:dyDescent="0.2">
      <c r="A17" s="4">
        <v>46102</v>
      </c>
      <c r="B17" t="s">
        <v>25</v>
      </c>
      <c r="C17" t="s">
        <v>42</v>
      </c>
      <c r="D17" s="5">
        <v>5</v>
      </c>
      <c r="E17" t="s">
        <v>43</v>
      </c>
    </row>
    <row r="18" spans="1:5" x14ac:dyDescent="0.2">
      <c r="A18" s="4">
        <v>46107</v>
      </c>
      <c r="B18" t="s">
        <v>27</v>
      </c>
      <c r="C18" t="s">
        <v>40</v>
      </c>
      <c r="D18" s="5">
        <v>7</v>
      </c>
      <c r="E18" t="s">
        <v>41</v>
      </c>
    </row>
    <row r="19" spans="1:5" x14ac:dyDescent="0.2">
      <c r="A19" s="4">
        <v>46112</v>
      </c>
      <c r="B19" t="s">
        <v>29</v>
      </c>
      <c r="C19" t="s">
        <v>42</v>
      </c>
      <c r="D19" s="5">
        <v>3</v>
      </c>
      <c r="E19" t="s">
        <v>43</v>
      </c>
    </row>
    <row r="20" spans="1:5" x14ac:dyDescent="0.2">
      <c r="A20" s="4">
        <v>46117</v>
      </c>
      <c r="B20" t="s">
        <v>32</v>
      </c>
      <c r="C20" t="s">
        <v>42</v>
      </c>
      <c r="D20" s="5">
        <v>4</v>
      </c>
      <c r="E20" t="s">
        <v>43</v>
      </c>
    </row>
    <row r="21" spans="1:5" x14ac:dyDescent="0.2">
      <c r="A21" s="4">
        <v>46122</v>
      </c>
      <c r="B21" t="s">
        <v>34</v>
      </c>
      <c r="C21" t="s">
        <v>42</v>
      </c>
      <c r="D21" s="5">
        <v>5</v>
      </c>
      <c r="E21" t="s">
        <v>43</v>
      </c>
    </row>
    <row r="22" spans="1:5" x14ac:dyDescent="0.2">
      <c r="A22" s="4">
        <v>46127</v>
      </c>
      <c r="B22" t="s">
        <v>7</v>
      </c>
      <c r="C22" t="s">
        <v>40</v>
      </c>
      <c r="D22" s="5">
        <v>6</v>
      </c>
      <c r="E22" t="s">
        <v>41</v>
      </c>
    </row>
    <row r="23" spans="1:5" x14ac:dyDescent="0.2">
      <c r="A23" s="4">
        <v>46132</v>
      </c>
      <c r="B23" t="s">
        <v>11</v>
      </c>
      <c r="C23" t="s">
        <v>42</v>
      </c>
      <c r="D23" s="5">
        <v>3</v>
      </c>
      <c r="E23" t="s">
        <v>43</v>
      </c>
    </row>
    <row r="24" spans="1:5" x14ac:dyDescent="0.2">
      <c r="A24" s="4">
        <v>46137</v>
      </c>
      <c r="B24" t="s">
        <v>14</v>
      </c>
      <c r="C24" t="s">
        <v>42</v>
      </c>
      <c r="D24" s="5">
        <v>4</v>
      </c>
      <c r="E24" t="s">
        <v>43</v>
      </c>
    </row>
    <row r="25" spans="1:5" x14ac:dyDescent="0.2">
      <c r="A25" s="4">
        <v>46142</v>
      </c>
      <c r="B25" t="s">
        <v>18</v>
      </c>
      <c r="C25" t="s">
        <v>42</v>
      </c>
      <c r="D25" s="5">
        <v>5</v>
      </c>
      <c r="E25" t="s">
        <v>43</v>
      </c>
    </row>
    <row r="26" spans="1:5" x14ac:dyDescent="0.2">
      <c r="A26" s="4">
        <v>46147</v>
      </c>
      <c r="B26" t="s">
        <v>21</v>
      </c>
      <c r="C26" t="s">
        <v>40</v>
      </c>
      <c r="D26" s="5">
        <v>10</v>
      </c>
      <c r="E26" t="s">
        <v>41</v>
      </c>
    </row>
    <row r="27" spans="1:5" x14ac:dyDescent="0.2">
      <c r="A27" s="4">
        <v>46152</v>
      </c>
      <c r="B27" t="s">
        <v>25</v>
      </c>
      <c r="C27" t="s">
        <v>42</v>
      </c>
      <c r="D27" s="5">
        <v>3</v>
      </c>
      <c r="E27" t="s">
        <v>43</v>
      </c>
    </row>
    <row r="28" spans="1:5" x14ac:dyDescent="0.2">
      <c r="A28" s="4">
        <v>46157</v>
      </c>
      <c r="B28" t="s">
        <v>27</v>
      </c>
      <c r="C28" t="s">
        <v>42</v>
      </c>
      <c r="D28" s="5">
        <v>4</v>
      </c>
      <c r="E28" t="s">
        <v>43</v>
      </c>
    </row>
    <row r="29" spans="1:5" x14ac:dyDescent="0.2">
      <c r="A29" s="4">
        <v>46162</v>
      </c>
      <c r="B29" t="s">
        <v>29</v>
      </c>
      <c r="C29" t="s">
        <v>42</v>
      </c>
      <c r="D29" s="5">
        <v>5</v>
      </c>
      <c r="E29" t="s">
        <v>43</v>
      </c>
    </row>
    <row r="30" spans="1:5" x14ac:dyDescent="0.2">
      <c r="A30" s="4">
        <v>46167</v>
      </c>
      <c r="B30" t="s">
        <v>32</v>
      </c>
      <c r="C30" t="s">
        <v>40</v>
      </c>
      <c r="D30" s="5">
        <v>9</v>
      </c>
      <c r="E30" t="s">
        <v>41</v>
      </c>
    </row>
    <row r="31" spans="1:5" x14ac:dyDescent="0.2">
      <c r="A31" s="4">
        <v>46172</v>
      </c>
      <c r="B31" t="s">
        <v>34</v>
      </c>
      <c r="C31" t="s">
        <v>42</v>
      </c>
      <c r="D31" s="5">
        <v>3</v>
      </c>
      <c r="E31" t="s">
        <v>43</v>
      </c>
    </row>
    <row r="32" spans="1:5" x14ac:dyDescent="0.2">
      <c r="A32" s="4">
        <v>46177</v>
      </c>
      <c r="B32" t="s">
        <v>7</v>
      </c>
      <c r="C32" t="s">
        <v>42</v>
      </c>
      <c r="D32" s="5">
        <v>4</v>
      </c>
      <c r="E32" t="s">
        <v>43</v>
      </c>
    </row>
    <row r="33" spans="1:5" x14ac:dyDescent="0.2">
      <c r="A33" s="4">
        <v>46182</v>
      </c>
      <c r="B33" t="s">
        <v>11</v>
      </c>
      <c r="C33" t="s">
        <v>42</v>
      </c>
      <c r="D33" s="5">
        <v>5</v>
      </c>
      <c r="E33" t="s">
        <v>43</v>
      </c>
    </row>
    <row r="34" spans="1:5" x14ac:dyDescent="0.2">
      <c r="A34" s="4">
        <v>46187</v>
      </c>
      <c r="B34" t="s">
        <v>14</v>
      </c>
      <c r="C34" t="s">
        <v>40</v>
      </c>
      <c r="D34" s="5">
        <v>8</v>
      </c>
      <c r="E34" t="s">
        <v>41</v>
      </c>
    </row>
    <row r="35" spans="1:5" x14ac:dyDescent="0.2">
      <c r="A35" s="4">
        <v>46192</v>
      </c>
      <c r="B35" t="s">
        <v>18</v>
      </c>
      <c r="C35" t="s">
        <v>42</v>
      </c>
      <c r="D35" s="5">
        <v>3</v>
      </c>
      <c r="E35" t="s">
        <v>43</v>
      </c>
    </row>
    <row r="36" spans="1:5" x14ac:dyDescent="0.2">
      <c r="A36" s="4">
        <v>46197</v>
      </c>
      <c r="B36" t="s">
        <v>21</v>
      </c>
      <c r="C36" t="s">
        <v>42</v>
      </c>
      <c r="D36" s="5">
        <v>4</v>
      </c>
      <c r="E36" t="s">
        <v>43</v>
      </c>
    </row>
    <row r="37" spans="1:5" x14ac:dyDescent="0.2">
      <c r="A37" s="4">
        <v>46202</v>
      </c>
      <c r="B37" t="s">
        <v>25</v>
      </c>
      <c r="C37" t="s">
        <v>42</v>
      </c>
      <c r="D37" s="5">
        <v>5</v>
      </c>
      <c r="E37" t="s">
        <v>43</v>
      </c>
    </row>
    <row r="38" spans="1:5" x14ac:dyDescent="0.2">
      <c r="A38" s="4">
        <v>46207</v>
      </c>
      <c r="B38" t="s">
        <v>27</v>
      </c>
      <c r="C38" t="s">
        <v>40</v>
      </c>
      <c r="D38" s="5">
        <v>7</v>
      </c>
      <c r="E38" t="s">
        <v>41</v>
      </c>
    </row>
    <row r="39" spans="1:5" x14ac:dyDescent="0.2">
      <c r="A39" s="4">
        <v>46212</v>
      </c>
      <c r="B39" t="s">
        <v>29</v>
      </c>
      <c r="C39" t="s">
        <v>42</v>
      </c>
      <c r="D39" s="5">
        <v>3</v>
      </c>
      <c r="E39" t="s">
        <v>43</v>
      </c>
    </row>
    <row r="40" spans="1:5" x14ac:dyDescent="0.2">
      <c r="A40" s="4">
        <v>46217</v>
      </c>
      <c r="B40" t="s">
        <v>32</v>
      </c>
      <c r="C40" t="s">
        <v>42</v>
      </c>
      <c r="D40" s="5">
        <v>4</v>
      </c>
      <c r="E40" t="s">
        <v>43</v>
      </c>
    </row>
    <row r="41" spans="1:5" x14ac:dyDescent="0.2">
      <c r="A41" s="4">
        <v>46222</v>
      </c>
      <c r="B41" t="s">
        <v>34</v>
      </c>
      <c r="C41" t="s">
        <v>42</v>
      </c>
      <c r="D41" s="5">
        <v>5</v>
      </c>
      <c r="E41" t="s">
        <v>43</v>
      </c>
    </row>
    <row r="42" spans="1:5" x14ac:dyDescent="0.2">
      <c r="A42" s="4">
        <v>46227</v>
      </c>
      <c r="B42" t="s">
        <v>7</v>
      </c>
      <c r="C42" t="s">
        <v>40</v>
      </c>
      <c r="D42" s="5">
        <v>6</v>
      </c>
      <c r="E42" t="s">
        <v>41</v>
      </c>
    </row>
    <row r="43" spans="1:5" x14ac:dyDescent="0.2">
      <c r="A43" s="4">
        <v>46232</v>
      </c>
      <c r="B43" t="s">
        <v>11</v>
      </c>
      <c r="C43" t="s">
        <v>42</v>
      </c>
      <c r="D43" s="5">
        <v>3</v>
      </c>
      <c r="E43" t="s">
        <v>43</v>
      </c>
    </row>
    <row r="44" spans="1:5" x14ac:dyDescent="0.2">
      <c r="A44" s="4">
        <v>46237</v>
      </c>
      <c r="B44" t="s">
        <v>14</v>
      </c>
      <c r="C44" t="s">
        <v>42</v>
      </c>
      <c r="D44" s="5">
        <v>4</v>
      </c>
      <c r="E44" t="s">
        <v>43</v>
      </c>
    </row>
    <row r="45" spans="1:5" x14ac:dyDescent="0.2">
      <c r="A45" s="4">
        <v>46242</v>
      </c>
      <c r="B45" t="s">
        <v>18</v>
      </c>
      <c r="C45" t="s">
        <v>42</v>
      </c>
      <c r="D45" s="5">
        <v>5</v>
      </c>
      <c r="E45" t="s">
        <v>43</v>
      </c>
    </row>
    <row r="46" spans="1:5" x14ac:dyDescent="0.2">
      <c r="A46" s="4">
        <v>46247</v>
      </c>
      <c r="B46" t="s">
        <v>21</v>
      </c>
      <c r="C46" t="s">
        <v>40</v>
      </c>
      <c r="D46" s="5">
        <v>10</v>
      </c>
      <c r="E46" t="s">
        <v>41</v>
      </c>
    </row>
    <row r="47" spans="1:5" x14ac:dyDescent="0.2">
      <c r="A47" s="4">
        <v>46252</v>
      </c>
      <c r="B47" t="s">
        <v>25</v>
      </c>
      <c r="C47" t="s">
        <v>42</v>
      </c>
      <c r="D47" s="5">
        <v>3</v>
      </c>
      <c r="E47" t="s">
        <v>43</v>
      </c>
    </row>
    <row r="48" spans="1:5" x14ac:dyDescent="0.2">
      <c r="A48" s="4">
        <v>46257</v>
      </c>
      <c r="B48" t="s">
        <v>27</v>
      </c>
      <c r="C48" t="s">
        <v>42</v>
      </c>
      <c r="D48" s="5">
        <v>4</v>
      </c>
      <c r="E48" t="s">
        <v>43</v>
      </c>
    </row>
    <row r="49" spans="1:5" x14ac:dyDescent="0.2">
      <c r="A49" s="4">
        <v>46262</v>
      </c>
      <c r="B49" t="s">
        <v>29</v>
      </c>
      <c r="C49" t="s">
        <v>42</v>
      </c>
      <c r="D49" s="5">
        <v>5</v>
      </c>
      <c r="E49" t="s">
        <v>43</v>
      </c>
    </row>
    <row r="50" spans="1:5" x14ac:dyDescent="0.2">
      <c r="A50" s="4">
        <v>46267</v>
      </c>
      <c r="B50" t="s">
        <v>32</v>
      </c>
      <c r="C50" t="s">
        <v>40</v>
      </c>
      <c r="D50" s="5">
        <v>9</v>
      </c>
      <c r="E50" t="s">
        <v>41</v>
      </c>
    </row>
    <row r="51" spans="1:5" x14ac:dyDescent="0.2">
      <c r="A51" s="4">
        <v>46272</v>
      </c>
      <c r="B51" t="s">
        <v>34</v>
      </c>
      <c r="C51" t="s">
        <v>42</v>
      </c>
      <c r="D51" s="5">
        <v>3</v>
      </c>
      <c r="E5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5"/>
  <sheetViews>
    <sheetView zoomScaleNormal="60" zoomScaleSheetLayoutView="100" workbookViewId="0"/>
  </sheetViews>
  <sheetFormatPr defaultRowHeight="15" x14ac:dyDescent="0.2"/>
  <cols>
    <col min="1" max="12" width="11.97265625" customWidth="1"/>
  </cols>
  <sheetData>
    <row r="1" spans="1:12" x14ac:dyDescent="0.2">
      <c r="A1" s="9" t="s">
        <v>44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spans="1:12" x14ac:dyDescent="0.2">
      <c r="A4" s="10" t="s">
        <v>45</v>
      </c>
      <c r="B4" s="10"/>
      <c r="C4" s="10" t="s">
        <v>46</v>
      </c>
      <c r="D4" s="10"/>
      <c r="E4" s="10" t="s">
        <v>47</v>
      </c>
      <c r="F4" s="10"/>
      <c r="G4" s="10"/>
      <c r="H4" s="10" t="s">
        <v>48</v>
      </c>
      <c r="I4" s="10"/>
      <c r="J4" s="10"/>
      <c r="K4" s="10" t="s">
        <v>49</v>
      </c>
      <c r="L4" s="10"/>
    </row>
    <row r="5" spans="1:12" x14ac:dyDescent="0.2">
      <c r="A5" s="11">
        <f>COUNTA(A10:A19)</f>
        <v>10</v>
      </c>
      <c r="B5" s="11"/>
      <c r="C5" s="11">
        <f>SUM(G10:G19)</f>
        <v>425</v>
      </c>
      <c r="D5" s="11"/>
      <c r="E5" s="12">
        <f>SUM(K10:K19)</f>
        <v>66022</v>
      </c>
      <c r="F5" s="12"/>
      <c r="G5" s="12"/>
      <c r="H5" s="11">
        <f>COUNTIF(I10:I19,"LOW STOCK")</f>
        <v>0</v>
      </c>
      <c r="I5" s="11"/>
      <c r="J5" s="11"/>
      <c r="K5" s="11">
        <f>COUNTIF(I10:I19,"OUT OF STOCK")</f>
        <v>0</v>
      </c>
      <c r="L5" s="11"/>
    </row>
    <row r="6" spans="1:12" x14ac:dyDescent="0.2">
      <c r="A6" s="11"/>
      <c r="B6" s="11"/>
      <c r="C6" s="11"/>
      <c r="D6" s="11"/>
      <c r="E6" s="12"/>
      <c r="F6" s="12"/>
      <c r="G6" s="12"/>
      <c r="H6" s="11"/>
      <c r="I6" s="11"/>
      <c r="J6" s="11"/>
      <c r="K6" s="11"/>
      <c r="L6" s="11"/>
    </row>
    <row r="9" spans="1:12" x14ac:dyDescent="0.2">
      <c r="A9" s="1" t="s">
        <v>0</v>
      </c>
      <c r="B9" s="1" t="s">
        <v>1</v>
      </c>
      <c r="C9" s="1" t="s">
        <v>2</v>
      </c>
      <c r="D9" s="1" t="s">
        <v>4</v>
      </c>
      <c r="E9" s="1" t="s">
        <v>50</v>
      </c>
      <c r="F9" s="1" t="s">
        <v>51</v>
      </c>
      <c r="G9" s="1" t="s">
        <v>52</v>
      </c>
      <c r="H9" s="1" t="s">
        <v>5</v>
      </c>
      <c r="I9" s="1" t="s">
        <v>53</v>
      </c>
      <c r="J9" s="1" t="s">
        <v>6</v>
      </c>
      <c r="K9" s="1" t="s">
        <v>54</v>
      </c>
    </row>
    <row r="10" spans="1:12" x14ac:dyDescent="0.2">
      <c r="A10" t="s">
        <v>7</v>
      </c>
      <c r="B10" t="str">
        <f>VLOOKUP(A10,Products!$A$2:$G$11,2,FALSE)</f>
        <v>Laptop Pro</v>
      </c>
      <c r="C10" t="str">
        <f>VLOOKUP(A10,Products!$A$2:$G$11,3,FALSE)</f>
        <v>Electronics</v>
      </c>
      <c r="D10" s="5">
        <f>VLOOKUP(A10,Products!$A$2:$G$11,5,FALSE)</f>
        <v>32</v>
      </c>
      <c r="E10" s="5">
        <f>SUMIFS('Stock Movements'!$D$2:$D$51,'Stock Movements'!$B$2:$B$51,A10,'Stock Movements'!$C$2:$C$51,"IN")</f>
        <v>18</v>
      </c>
      <c r="F10" s="5">
        <f>SUMIFS('Stock Movements'!$D$2:$D$51,'Stock Movements'!$B$2:$B$51,A10,'Stock Movements'!$C$2:$C$51,"OUT")</f>
        <v>8</v>
      </c>
      <c r="G10" s="5">
        <f>D10+E10-F10</f>
        <v>42</v>
      </c>
      <c r="H10" s="5">
        <f>VLOOKUP(A10,Products!$A$2:$G$11,6,FALSE)</f>
        <v>10</v>
      </c>
      <c r="I10" t="str">
        <f>IF(G10=0,"OUT OF STOCK",IF(G10&lt;=H10,"LOW STOCK","IN STOCK"))</f>
        <v>IN STOCK</v>
      </c>
      <c r="J10" s="3">
        <f>VLOOKUP(A10,Products!$A$2:$G$11,7,FALSE)</f>
        <v>690</v>
      </c>
      <c r="K10" s="3">
        <f>G10*J10</f>
        <v>28980</v>
      </c>
    </row>
    <row r="11" spans="1:12" x14ac:dyDescent="0.2">
      <c r="A11" t="s">
        <v>11</v>
      </c>
      <c r="B11" t="str">
        <f>VLOOKUP(A11,Products!$A$2:$G$11,2,FALSE)</f>
        <v>Monitor 27</v>
      </c>
      <c r="C11" t="str">
        <f>VLOOKUP(A11,Products!$A$2:$G$11,3,FALSE)</f>
        <v>Electronics</v>
      </c>
      <c r="D11" s="5">
        <f>VLOOKUP(A11,Products!$A$2:$G$11,5,FALSE)</f>
        <v>48</v>
      </c>
      <c r="E11" s="5">
        <f>SUMIFS('Stock Movements'!$D$2:$D$51,'Stock Movements'!$B$2:$B$51,A11,'Stock Movements'!$C$2:$C$51,"IN")</f>
        <v>0</v>
      </c>
      <c r="F11" s="5">
        <f>SUMIFS('Stock Movements'!$D$2:$D$51,'Stock Movements'!$B$2:$B$51,A11,'Stock Movements'!$C$2:$C$51,"OUT")</f>
        <v>19</v>
      </c>
      <c r="G11" s="5">
        <f>D11+E11-F11</f>
        <v>29</v>
      </c>
      <c r="H11" s="5">
        <f>VLOOKUP(A11,Products!$A$2:$G$11,6,FALSE)</f>
        <v>12</v>
      </c>
      <c r="I11" t="str">
        <f>IF(G11=0,"OUT OF STOCK",IF(G11&lt;=H11,"LOW STOCK","IN STOCK"))</f>
        <v>IN STOCK</v>
      </c>
      <c r="J11" s="3">
        <f>VLOOKUP(A11,Products!$A$2:$G$11,7,FALSE)</f>
        <v>255</v>
      </c>
      <c r="K11" s="3">
        <f>G11*J11</f>
        <v>7395</v>
      </c>
    </row>
    <row r="12" spans="1:12" x14ac:dyDescent="0.2">
      <c r="A12" t="s">
        <v>14</v>
      </c>
      <c r="B12" t="str">
        <f>VLOOKUP(A12,Products!$A$2:$G$11,2,FALSE)</f>
        <v>Office Chair</v>
      </c>
      <c r="C12" t="str">
        <f>VLOOKUP(A12,Products!$A$2:$G$11,3,FALSE)</f>
        <v>Furniture</v>
      </c>
      <c r="D12" s="5">
        <f>VLOOKUP(A12,Products!$A$2:$G$11,5,FALSE)</f>
        <v>55</v>
      </c>
      <c r="E12" s="5">
        <f>SUMIFS('Stock Movements'!$D$2:$D$51,'Stock Movements'!$B$2:$B$51,A12,'Stock Movements'!$C$2:$C$51,"IN")</f>
        <v>16</v>
      </c>
      <c r="F12" s="5">
        <f>SUMIFS('Stock Movements'!$D$2:$D$51,'Stock Movements'!$B$2:$B$51,A12,'Stock Movements'!$C$2:$C$51,"OUT")</f>
        <v>12</v>
      </c>
      <c r="G12" s="5">
        <f>D12+E12-F12</f>
        <v>59</v>
      </c>
      <c r="H12" s="5">
        <f>VLOOKUP(A12,Products!$A$2:$G$11,6,FALSE)</f>
        <v>15</v>
      </c>
      <c r="I12" t="str">
        <f>IF(G12=0,"OUT OF STOCK",IF(G12&lt;=H12,"LOW STOCK","IN STOCK"))</f>
        <v>IN STOCK</v>
      </c>
      <c r="J12" s="3">
        <f>VLOOKUP(A12,Products!$A$2:$G$11,7,FALSE)</f>
        <v>205</v>
      </c>
      <c r="K12" s="3">
        <f>G12*J12</f>
        <v>12095</v>
      </c>
    </row>
    <row r="13" spans="1:12" x14ac:dyDescent="0.2">
      <c r="A13" t="s">
        <v>18</v>
      </c>
      <c r="B13" t="str">
        <f>VLOOKUP(A13,Products!$A$2:$G$11,2,FALSE)</f>
        <v>Standing Desk</v>
      </c>
      <c r="C13" t="str">
        <f>VLOOKUP(A13,Products!$A$2:$G$11,3,FALSE)</f>
        <v>Furniture</v>
      </c>
      <c r="D13" s="5">
        <f>VLOOKUP(A13,Products!$A$2:$G$11,5,FALSE)</f>
        <v>36</v>
      </c>
      <c r="E13" s="5">
        <f>SUMIFS('Stock Movements'!$D$2:$D$51,'Stock Movements'!$B$2:$B$51,A13,'Stock Movements'!$C$2:$C$51,"IN")</f>
        <v>0</v>
      </c>
      <c r="F13" s="5">
        <f>SUMIFS('Stock Movements'!$D$2:$D$51,'Stock Movements'!$B$2:$B$51,A13,'Stock Movements'!$C$2:$C$51,"OUT")</f>
        <v>21</v>
      </c>
      <c r="G13" s="5">
        <f>D13+E13-F13</f>
        <v>15</v>
      </c>
      <c r="H13" s="5">
        <f>VLOOKUP(A13,Products!$A$2:$G$11,6,FALSE)</f>
        <v>10</v>
      </c>
      <c r="I13" t="str">
        <f>IF(G13=0,"OUT OF STOCK",IF(G13&lt;=H13,"LOW STOCK","IN STOCK"))</f>
        <v>IN STOCK</v>
      </c>
      <c r="J13" s="3">
        <f>VLOOKUP(A13,Products!$A$2:$G$11,7,FALSE)</f>
        <v>370</v>
      </c>
      <c r="K13" s="3">
        <f>G13*J13</f>
        <v>5550</v>
      </c>
    </row>
    <row r="14" spans="1:12" x14ac:dyDescent="0.2">
      <c r="A14" t="s">
        <v>21</v>
      </c>
      <c r="B14" t="str">
        <f>VLOOKUP(A14,Products!$A$2:$G$11,2,FALSE)</f>
        <v>Keyboard</v>
      </c>
      <c r="C14" t="str">
        <f>VLOOKUP(A14,Products!$A$2:$G$11,3,FALSE)</f>
        <v>Accessories</v>
      </c>
      <c r="D14" s="5">
        <f>VLOOKUP(A14,Products!$A$2:$G$11,5,FALSE)</f>
        <v>70</v>
      </c>
      <c r="E14" s="5">
        <f>SUMIFS('Stock Movements'!$D$2:$D$51,'Stock Movements'!$B$2:$B$51,A14,'Stock Movements'!$C$2:$C$51,"IN")</f>
        <v>30</v>
      </c>
      <c r="F14" s="5">
        <f>SUMIFS('Stock Movements'!$D$2:$D$51,'Stock Movements'!$B$2:$B$51,A14,'Stock Movements'!$C$2:$C$51,"OUT")</f>
        <v>8</v>
      </c>
      <c r="G14" s="5">
        <f>D14+E14-F14</f>
        <v>92</v>
      </c>
      <c r="H14" s="5">
        <f>VLOOKUP(A14,Products!$A$2:$G$11,6,FALSE)</f>
        <v>20</v>
      </c>
      <c r="I14" t="str">
        <f>IF(G14=0,"OUT OF STOCK",IF(G14&lt;=H14,"LOW STOCK","IN STOCK"))</f>
        <v>IN STOCK</v>
      </c>
      <c r="J14" s="3">
        <f>VLOOKUP(A14,Products!$A$2:$G$11,7,FALSE)</f>
        <v>54</v>
      </c>
      <c r="K14" s="3">
        <f>G14*J14</f>
        <v>4968</v>
      </c>
    </row>
    <row r="15" spans="1:12" x14ac:dyDescent="0.2">
      <c r="A15" t="s">
        <v>25</v>
      </c>
      <c r="B15" t="str">
        <f>VLOOKUP(A15,Products!$A$2:$G$11,2,FALSE)</f>
        <v>Mouse</v>
      </c>
      <c r="C15" t="str">
        <f>VLOOKUP(A15,Products!$A$2:$G$11,3,FALSE)</f>
        <v>Accessories</v>
      </c>
      <c r="D15" s="5">
        <f>VLOOKUP(A15,Products!$A$2:$G$11,5,FALSE)</f>
        <v>82</v>
      </c>
      <c r="E15" s="5">
        <f>SUMIFS('Stock Movements'!$D$2:$D$51,'Stock Movements'!$B$2:$B$51,A15,'Stock Movements'!$C$2:$C$51,"IN")</f>
        <v>0</v>
      </c>
      <c r="F15" s="5">
        <f>SUMIFS('Stock Movements'!$D$2:$D$51,'Stock Movements'!$B$2:$B$51,A15,'Stock Movements'!$C$2:$C$51,"OUT")</f>
        <v>19</v>
      </c>
      <c r="G15" s="5">
        <f>D15+E15-F15</f>
        <v>63</v>
      </c>
      <c r="H15" s="5">
        <f>VLOOKUP(A15,Products!$A$2:$G$11,6,FALSE)</f>
        <v>25</v>
      </c>
      <c r="I15" t="str">
        <f>IF(G15=0,"OUT OF STOCK",IF(G15&lt;=H15,"LOW STOCK","IN STOCK"))</f>
        <v>IN STOCK</v>
      </c>
      <c r="J15" s="3">
        <f>VLOOKUP(A15,Products!$A$2:$G$11,7,FALSE)</f>
        <v>31</v>
      </c>
      <c r="K15" s="3">
        <f>G15*J15</f>
        <v>1953</v>
      </c>
    </row>
    <row r="16" spans="1:12" x14ac:dyDescent="0.2">
      <c r="A16" t="s">
        <v>27</v>
      </c>
      <c r="B16" t="str">
        <f>VLOOKUP(A16,Products!$A$2:$G$11,2,FALSE)</f>
        <v>Webcam</v>
      </c>
      <c r="C16" t="str">
        <f>VLOOKUP(A16,Products!$A$2:$G$11,3,FALSE)</f>
        <v>Electronics</v>
      </c>
      <c r="D16" s="5">
        <f>VLOOKUP(A16,Products!$A$2:$G$11,5,FALSE)</f>
        <v>28</v>
      </c>
      <c r="E16" s="5">
        <f>SUMIFS('Stock Movements'!$D$2:$D$51,'Stock Movements'!$B$2:$B$51,A16,'Stock Movements'!$C$2:$C$51,"IN")</f>
        <v>14</v>
      </c>
      <c r="F16" s="5">
        <f>SUMIFS('Stock Movements'!$D$2:$D$51,'Stock Movements'!$B$2:$B$51,A16,'Stock Movements'!$C$2:$C$51,"OUT")</f>
        <v>12</v>
      </c>
      <c r="G16" s="5">
        <f>D16+E16-F16</f>
        <v>30</v>
      </c>
      <c r="H16" s="5">
        <f>VLOOKUP(A16,Products!$A$2:$G$11,6,FALSE)</f>
        <v>8</v>
      </c>
      <c r="I16" t="str">
        <f>IF(G16=0,"OUT OF STOCK",IF(G16&lt;=H16,"LOW STOCK","IN STOCK"))</f>
        <v>IN STOCK</v>
      </c>
      <c r="J16" s="3">
        <f>VLOOKUP(A16,Products!$A$2:$G$11,7,FALSE)</f>
        <v>62</v>
      </c>
      <c r="K16" s="3">
        <f>G16*J16</f>
        <v>1860</v>
      </c>
    </row>
    <row r="17" spans="1:11" x14ac:dyDescent="0.2">
      <c r="A17" t="s">
        <v>29</v>
      </c>
      <c r="B17" t="str">
        <f>VLOOKUP(A17,Products!$A$2:$G$11,2,FALSE)</f>
        <v>Headset</v>
      </c>
      <c r="C17" t="str">
        <f>VLOOKUP(A17,Products!$A$2:$G$11,3,FALSE)</f>
        <v>Accessories</v>
      </c>
      <c r="D17" s="5">
        <f>VLOOKUP(A17,Products!$A$2:$G$11,5,FALSE)</f>
        <v>40</v>
      </c>
      <c r="E17" s="5">
        <f>SUMIFS('Stock Movements'!$D$2:$D$51,'Stock Movements'!$B$2:$B$51,A17,'Stock Movements'!$C$2:$C$51,"IN")</f>
        <v>0</v>
      </c>
      <c r="F17" s="5">
        <f>SUMIFS('Stock Movements'!$D$2:$D$51,'Stock Movements'!$B$2:$B$51,A17,'Stock Movements'!$C$2:$C$51,"OUT")</f>
        <v>21</v>
      </c>
      <c r="G17" s="5">
        <f>D17+E17-F17</f>
        <v>19</v>
      </c>
      <c r="H17" s="5">
        <f>VLOOKUP(A17,Products!$A$2:$G$11,6,FALSE)</f>
        <v>12</v>
      </c>
      <c r="I17" t="str">
        <f>IF(G17=0,"OUT OF STOCK",IF(G17&lt;=H17,"LOW STOCK","IN STOCK"))</f>
        <v>IN STOCK</v>
      </c>
      <c r="J17" s="3">
        <f>VLOOKUP(A17,Products!$A$2:$G$11,7,FALSE)</f>
        <v>48</v>
      </c>
      <c r="K17" s="3">
        <f>G17*J17</f>
        <v>912</v>
      </c>
    </row>
    <row r="18" spans="1:11" x14ac:dyDescent="0.2">
      <c r="A18" t="s">
        <v>32</v>
      </c>
      <c r="B18" t="str">
        <f>VLOOKUP(A18,Products!$A$2:$G$11,2,FALSE)</f>
        <v>Desk Lamp</v>
      </c>
      <c r="C18" t="str">
        <f>VLOOKUP(A18,Products!$A$2:$G$11,3,FALSE)</f>
        <v>Furniture</v>
      </c>
      <c r="D18" s="5">
        <f>VLOOKUP(A18,Products!$A$2:$G$11,5,FALSE)</f>
        <v>30</v>
      </c>
      <c r="E18" s="5">
        <f>SUMIFS('Stock Movements'!$D$2:$D$51,'Stock Movements'!$B$2:$B$51,A18,'Stock Movements'!$C$2:$C$51,"IN")</f>
        <v>27</v>
      </c>
      <c r="F18" s="5">
        <f>SUMIFS('Stock Movements'!$D$2:$D$51,'Stock Movements'!$B$2:$B$51,A18,'Stock Movements'!$C$2:$C$51,"OUT")</f>
        <v>8</v>
      </c>
      <c r="G18" s="5">
        <f>D18+E18-F18</f>
        <v>49</v>
      </c>
      <c r="H18" s="5">
        <f>VLOOKUP(A18,Products!$A$2:$G$11,6,FALSE)</f>
        <v>10</v>
      </c>
      <c r="I18" t="str">
        <f>IF(G18=0,"OUT OF STOCK",IF(G18&lt;=H18,"LOW STOCK","IN STOCK"))</f>
        <v>IN STOCK</v>
      </c>
      <c r="J18" s="3">
        <f>VLOOKUP(A18,Products!$A$2:$G$11,7,FALSE)</f>
        <v>35</v>
      </c>
      <c r="K18" s="3">
        <f>G18*J18</f>
        <v>1715</v>
      </c>
    </row>
    <row r="19" spans="1:11" x14ac:dyDescent="0.2">
      <c r="A19" t="s">
        <v>34</v>
      </c>
      <c r="B19" t="str">
        <f>VLOOKUP(A19,Products!$A$2:$G$11,2,FALSE)</f>
        <v>USB Hub</v>
      </c>
      <c r="C19" t="str">
        <f>VLOOKUP(A19,Products!$A$2:$G$11,3,FALSE)</f>
        <v>Accessories</v>
      </c>
      <c r="D19" s="5">
        <f>VLOOKUP(A19,Products!$A$2:$G$11,5,FALSE)</f>
        <v>46</v>
      </c>
      <c r="E19" s="5">
        <f>SUMIFS('Stock Movements'!$D$2:$D$51,'Stock Movements'!$B$2:$B$51,A19,'Stock Movements'!$C$2:$C$51,"IN")</f>
        <v>0</v>
      </c>
      <c r="F19" s="5">
        <f>SUMIFS('Stock Movements'!$D$2:$D$51,'Stock Movements'!$B$2:$B$51,A19,'Stock Movements'!$C$2:$C$51,"OUT")</f>
        <v>19</v>
      </c>
      <c r="G19" s="5">
        <f>D19+E19-F19</f>
        <v>27</v>
      </c>
      <c r="H19" s="5">
        <f>VLOOKUP(A19,Products!$A$2:$G$11,6,FALSE)</f>
        <v>15</v>
      </c>
      <c r="I19" t="str">
        <f>IF(G19=0,"OUT OF STOCK",IF(G19&lt;=H19,"LOW STOCK","IN STOCK"))</f>
        <v>IN STOCK</v>
      </c>
      <c r="J19" s="3">
        <f>VLOOKUP(A19,Products!$A$2:$G$11,7,FALSE)</f>
        <v>22</v>
      </c>
      <c r="K19" s="3">
        <f>G19*J19</f>
        <v>594</v>
      </c>
    </row>
    <row r="22" spans="1:11" x14ac:dyDescent="0.2">
      <c r="A22" s="1" t="s">
        <v>2</v>
      </c>
      <c r="B22" s="1" t="s">
        <v>55</v>
      </c>
      <c r="C22" s="1" t="s">
        <v>54</v>
      </c>
    </row>
    <row r="23" spans="1:11" x14ac:dyDescent="0.2">
      <c r="A23" t="s">
        <v>9</v>
      </c>
      <c r="B23" s="5">
        <f>SUMIF(C10:C19,A23,G10:G19)</f>
        <v>101</v>
      </c>
      <c r="C23" s="3">
        <f>SUMIF(C10:C19,A23,K10:K19)</f>
        <v>38235</v>
      </c>
    </row>
    <row r="24" spans="1:11" x14ac:dyDescent="0.2">
      <c r="A24" t="s">
        <v>16</v>
      </c>
      <c r="B24" s="5">
        <f>SUMIF(C11:C20,A24,G11:G20)</f>
        <v>123</v>
      </c>
      <c r="C24" s="3">
        <f>SUMIF(C11:C20,A24,K11:K20)</f>
        <v>19360</v>
      </c>
    </row>
    <row r="25" spans="1:11" x14ac:dyDescent="0.2">
      <c r="A25" t="s">
        <v>23</v>
      </c>
      <c r="B25" s="5">
        <f>SUMIF(C12:C21,A25,G12:G21)</f>
        <v>201</v>
      </c>
      <c r="C25" s="3">
        <f>SUMIF(C12:C21,A25,K12:K21)</f>
        <v>8427</v>
      </c>
    </row>
  </sheetData>
  <mergeCells count="11">
    <mergeCell ref="A1:L2"/>
    <mergeCell ref="A4:B4"/>
    <mergeCell ref="A5:B6"/>
    <mergeCell ref="C4:D4"/>
    <mergeCell ref="C5:D6"/>
    <mergeCell ref="E4:G4"/>
    <mergeCell ref="E5:G6"/>
    <mergeCell ref="H4:J4"/>
    <mergeCell ref="H5:J6"/>
    <mergeCell ref="K4:L4"/>
    <mergeCell ref="K5:L6"/>
  </mergeCells>
  <conditionalFormatting sqref="I10:I19">
    <cfRule type="expression" dxfId="2" priority="1">
      <formula>I10="LOW STOCK"</formula>
    </cfRule>
    <cfRule type="expression" dxfId="1" priority="2">
      <formula>I10="OUT OF STOCK"</formula>
    </cfRule>
    <cfRule type="expression" dxfId="0" priority="3">
      <formula>I10="IN STOCK"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"/>
  <sheetViews>
    <sheetView zoomScaleNormal="60" zoomScaleSheetLayoutView="100" workbookViewId="0"/>
  </sheetViews>
  <sheetFormatPr defaultRowHeight="15" x14ac:dyDescent="0.2"/>
  <cols>
    <col min="1" max="1" width="13.98828125" customWidth="1"/>
    <col min="2" max="2" width="13.046875" customWidth="1"/>
    <col min="3" max="3" width="13.98828125" customWidth="1"/>
    <col min="4" max="4" width="11.97265625" customWidth="1"/>
    <col min="5" max="5" width="27.98046875" customWidth="1"/>
  </cols>
  <sheetData>
    <row r="1" spans="1:5" x14ac:dyDescent="0.2">
      <c r="A1" s="13" t="s">
        <v>56</v>
      </c>
      <c r="B1" s="13"/>
      <c r="C1" s="13"/>
      <c r="D1" s="13"/>
      <c r="E1" s="13"/>
    </row>
    <row r="2" spans="1:5" x14ac:dyDescent="0.2">
      <c r="A2" s="13"/>
      <c r="B2" s="13"/>
      <c r="C2" s="13"/>
      <c r="D2" s="13"/>
      <c r="E2" s="13"/>
    </row>
    <row r="4" spans="1:5" x14ac:dyDescent="0.2">
      <c r="A4" s="6" t="s">
        <v>36</v>
      </c>
      <c r="B4" s="6" t="s">
        <v>0</v>
      </c>
      <c r="C4" s="6" t="s">
        <v>37</v>
      </c>
      <c r="D4" s="6" t="s">
        <v>38</v>
      </c>
      <c r="E4" s="6" t="s">
        <v>39</v>
      </c>
    </row>
    <row r="5" spans="1:5" x14ac:dyDescent="0.2">
      <c r="A5" s="4"/>
      <c r="D5" s="5"/>
    </row>
    <row r="6" spans="1:5" x14ac:dyDescent="0.2">
      <c r="A6" s="4"/>
      <c r="D6" s="5"/>
    </row>
    <row r="7" spans="1:5" x14ac:dyDescent="0.2">
      <c r="A7" s="4"/>
      <c r="D7" s="5"/>
    </row>
    <row r="8" spans="1:5" x14ac:dyDescent="0.2">
      <c r="A8" s="4"/>
      <c r="D8" s="5"/>
    </row>
    <row r="9" spans="1:5" x14ac:dyDescent="0.2">
      <c r="A9" s="4"/>
      <c r="D9" s="5"/>
    </row>
    <row r="10" spans="1:5" x14ac:dyDescent="0.2">
      <c r="A10" s="4"/>
      <c r="D10" s="5"/>
    </row>
    <row r="11" spans="1:5" x14ac:dyDescent="0.2">
      <c r="A11" s="4"/>
      <c r="D11" s="5"/>
    </row>
    <row r="12" spans="1:5" x14ac:dyDescent="0.2">
      <c r="A12" s="4"/>
      <c r="D12" s="5"/>
    </row>
    <row r="13" spans="1:5" x14ac:dyDescent="0.2">
      <c r="A13" s="4"/>
      <c r="D13" s="5"/>
    </row>
    <row r="14" spans="1:5" x14ac:dyDescent="0.2">
      <c r="A14" s="4"/>
      <c r="D14" s="5"/>
    </row>
    <row r="15" spans="1:5" x14ac:dyDescent="0.2">
      <c r="A15" s="4"/>
      <c r="D15" s="5"/>
    </row>
    <row r="16" spans="1:5" x14ac:dyDescent="0.2">
      <c r="A16" s="4"/>
      <c r="D16" s="5"/>
    </row>
    <row r="17" spans="1:4" x14ac:dyDescent="0.2">
      <c r="A17" s="4"/>
      <c r="D17" s="5"/>
    </row>
    <row r="18" spans="1:4" x14ac:dyDescent="0.2">
      <c r="A18" s="4"/>
      <c r="D18" s="5"/>
    </row>
    <row r="19" spans="1:4" x14ac:dyDescent="0.2">
      <c r="A19" s="4"/>
      <c r="D19" s="5"/>
    </row>
    <row r="20" spans="1:4" x14ac:dyDescent="0.2">
      <c r="A20" s="4"/>
      <c r="D20" s="5"/>
    </row>
    <row r="21" spans="1:4" x14ac:dyDescent="0.2">
      <c r="A21" s="4"/>
      <c r="D21" s="5"/>
    </row>
    <row r="22" spans="1:4" x14ac:dyDescent="0.2">
      <c r="A22" s="4"/>
      <c r="D22" s="5"/>
    </row>
    <row r="23" spans="1:4" x14ac:dyDescent="0.2">
      <c r="A23" s="4"/>
      <c r="D23" s="5"/>
    </row>
    <row r="24" spans="1:4" x14ac:dyDescent="0.2">
      <c r="A24" s="4"/>
      <c r="D24" s="5"/>
    </row>
    <row r="25" spans="1:4" x14ac:dyDescent="0.2">
      <c r="A25" s="4"/>
      <c r="D25" s="5"/>
    </row>
    <row r="26" spans="1:4" x14ac:dyDescent="0.2">
      <c r="A26" s="4"/>
      <c r="D26" s="5"/>
    </row>
    <row r="27" spans="1:4" x14ac:dyDescent="0.2">
      <c r="A27" s="4"/>
      <c r="D27" s="5"/>
    </row>
    <row r="28" spans="1:4" x14ac:dyDescent="0.2">
      <c r="A28" s="4"/>
      <c r="D28" s="5"/>
    </row>
    <row r="29" spans="1:4" x14ac:dyDescent="0.2">
      <c r="A29" s="4"/>
      <c r="D29" s="5"/>
    </row>
    <row r="30" spans="1:4" x14ac:dyDescent="0.2">
      <c r="A30" s="4"/>
      <c r="D30" s="5"/>
    </row>
  </sheetData>
  <mergeCells count="1">
    <mergeCell ref="A1:E2"/>
  </mergeCells>
  <dataValidations count="2">
    <dataValidation type="list" sqref="B5:B30" xr:uid="{00000000-0002-0000-0300-000000000000}">
      <formula1>"SKU-001,SKU-002,SKU-003,SKU-004,SKU-005,SKU-006,SKU-007,SKU-008,SKU-009,SKU-010"</formula1>
    </dataValidation>
    <dataValidation type="list" sqref="C5:C30" xr:uid="{00000000-0002-0000-0300-000001000000}">
      <formula1>"IN,OUT"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zoomScaleNormal="60" zoomScaleSheetLayoutView="100" workbookViewId="0"/>
  </sheetViews>
  <sheetFormatPr defaultRowHeight="15" x14ac:dyDescent="0.2"/>
  <cols>
    <col min="1" max="1" width="20.04296875" customWidth="1"/>
    <col min="2" max="2" width="71.96875" customWidth="1"/>
  </cols>
  <sheetData>
    <row r="1" spans="1:6" x14ac:dyDescent="0.2">
      <c r="A1" s="14" t="s">
        <v>57</v>
      </c>
      <c r="B1" s="14"/>
      <c r="C1" s="14"/>
      <c r="D1" s="14"/>
      <c r="E1" s="14"/>
      <c r="F1" s="14"/>
    </row>
    <row r="2" spans="1:6" x14ac:dyDescent="0.2">
      <c r="A2" s="14"/>
      <c r="B2" s="14"/>
      <c r="C2" s="14"/>
      <c r="D2" s="14"/>
      <c r="E2" s="14"/>
      <c r="F2" s="14"/>
    </row>
    <row r="4" spans="1:6" ht="27.75" x14ac:dyDescent="0.2">
      <c r="A4" s="7" t="s">
        <v>58</v>
      </c>
      <c r="B4" s="8" t="s">
        <v>59</v>
      </c>
    </row>
    <row r="5" spans="1:6" x14ac:dyDescent="0.2">
      <c r="A5" s="7" t="s">
        <v>60</v>
      </c>
      <c r="B5" s="8" t="s">
        <v>61</v>
      </c>
    </row>
    <row r="6" spans="1:6" x14ac:dyDescent="0.2">
      <c r="A6" s="7" t="s">
        <v>62</v>
      </c>
      <c r="B6" s="8" t="s">
        <v>63</v>
      </c>
    </row>
    <row r="7" spans="1:6" x14ac:dyDescent="0.2">
      <c r="A7" s="7" t="s">
        <v>64</v>
      </c>
      <c r="B7" s="8" t="s">
        <v>65</v>
      </c>
    </row>
    <row r="8" spans="1:6" x14ac:dyDescent="0.2">
      <c r="A8" s="7" t="s">
        <v>66</v>
      </c>
      <c r="B8" s="8" t="s">
        <v>67</v>
      </c>
    </row>
    <row r="9" spans="1:6" x14ac:dyDescent="0.2">
      <c r="A9" s="7" t="s">
        <v>68</v>
      </c>
      <c r="B9" s="8" t="s">
        <v>69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Stock Movements</vt:lpstr>
      <vt:lpstr>Inventory Dashboard</vt:lpstr>
      <vt:lpstr>Data Entry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 mohammadi</dc:creator>
  <dcterms:created xsi:type="dcterms:W3CDTF">2026-10-01T22:56:19Z</dcterms:created>
</cp:coreProperties>
</file>